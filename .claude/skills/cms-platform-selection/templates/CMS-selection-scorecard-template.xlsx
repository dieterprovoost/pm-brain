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ter.provoost/Projects/sa-companion/templates/cms-platform-selection/"/>
    </mc:Choice>
  </mc:AlternateContent>
  <xr:revisionPtr revIDLastSave="0" documentId="13_ncr:1_{E0CCCCDF-20B9-2149-8CA4-4D85B78DDDCE}" xr6:coauthVersionLast="47" xr6:coauthVersionMax="47" xr10:uidLastSave="{00000000-0000-0000-0000-000000000000}"/>
  <bookViews>
    <workbookView xWindow="0" yWindow="660" windowWidth="34560" windowHeight="21680" xr2:uid="{9BE9494E-EC02-4AB7-8866-0146CAADCC95}"/>
  </bookViews>
  <sheets>
    <sheet name="CMS Scorecard" sheetId="2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2" l="1"/>
  <c r="B4" i="2"/>
  <c r="E11" i="2"/>
  <c r="E12" i="2"/>
  <c r="E13" i="2"/>
  <c r="D66" i="2"/>
  <c r="E47" i="2"/>
  <c r="H47" i="2"/>
  <c r="K47" i="2"/>
  <c r="K37" i="2"/>
  <c r="H37" i="2"/>
  <c r="E37" i="2"/>
  <c r="K60" i="2"/>
  <c r="K59" i="2"/>
  <c r="K54" i="2"/>
  <c r="K55" i="2"/>
  <c r="K56" i="2"/>
  <c r="K53" i="2"/>
  <c r="K48" i="2"/>
  <c r="K49" i="2"/>
  <c r="K50" i="2"/>
  <c r="K41" i="2"/>
  <c r="K42" i="2"/>
  <c r="K43" i="2"/>
  <c r="K44" i="2"/>
  <c r="K40" i="2"/>
  <c r="K36" i="2"/>
  <c r="K35" i="2"/>
  <c r="K34" i="2"/>
  <c r="K33" i="2"/>
  <c r="K32" i="2"/>
  <c r="K26" i="2"/>
  <c r="K27" i="2"/>
  <c r="K28" i="2"/>
  <c r="K29" i="2"/>
  <c r="K25" i="2"/>
  <c r="K18" i="2"/>
  <c r="K19" i="2"/>
  <c r="K20" i="2"/>
  <c r="K21" i="2"/>
  <c r="K22" i="2"/>
  <c r="K17" i="2"/>
  <c r="K12" i="2"/>
  <c r="K13" i="2"/>
  <c r="K14" i="2"/>
  <c r="K11" i="2"/>
  <c r="J66" i="2"/>
  <c r="K66" i="2" s="1"/>
  <c r="J61" i="2"/>
  <c r="J57" i="2"/>
  <c r="J51" i="2"/>
  <c r="J45" i="2"/>
  <c r="J38" i="2"/>
  <c r="J30" i="2"/>
  <c r="J23" i="2"/>
  <c r="J15" i="2"/>
  <c r="H60" i="2"/>
  <c r="H59" i="2"/>
  <c r="H54" i="2"/>
  <c r="H55" i="2"/>
  <c r="H56" i="2"/>
  <c r="H53" i="2"/>
  <c r="H48" i="2"/>
  <c r="H49" i="2"/>
  <c r="H50" i="2"/>
  <c r="H41" i="2"/>
  <c r="H42" i="2"/>
  <c r="H43" i="2"/>
  <c r="H44" i="2"/>
  <c r="H40" i="2"/>
  <c r="H32" i="2"/>
  <c r="H33" i="2"/>
  <c r="H34" i="2"/>
  <c r="H35" i="2"/>
  <c r="H36" i="2"/>
  <c r="H26" i="2"/>
  <c r="H27" i="2"/>
  <c r="H28" i="2"/>
  <c r="H29" i="2"/>
  <c r="H25" i="2"/>
  <c r="H18" i="2"/>
  <c r="H19" i="2"/>
  <c r="H20" i="2"/>
  <c r="H21" i="2"/>
  <c r="H22" i="2"/>
  <c r="H17" i="2"/>
  <c r="H12" i="2"/>
  <c r="H13" i="2"/>
  <c r="H14" i="2"/>
  <c r="H11" i="2"/>
  <c r="G66" i="2"/>
  <c r="H66" i="2" s="1"/>
  <c r="G61" i="2"/>
  <c r="G57" i="2"/>
  <c r="G51" i="2"/>
  <c r="G45" i="2"/>
  <c r="G38" i="2"/>
  <c r="G30" i="2"/>
  <c r="G23" i="2"/>
  <c r="G15" i="2"/>
  <c r="E66" i="2"/>
  <c r="K51" i="2" l="1"/>
  <c r="H61" i="2"/>
  <c r="H23" i="2"/>
  <c r="K38" i="2"/>
  <c r="G65" i="2"/>
  <c r="G67" i="2" s="1"/>
  <c r="K61" i="2"/>
  <c r="H45" i="2"/>
  <c r="H51" i="2"/>
  <c r="H15" i="2"/>
  <c r="H38" i="2"/>
  <c r="J65" i="2"/>
  <c r="J67" i="2" s="1"/>
  <c r="H30" i="2"/>
  <c r="K57" i="2"/>
  <c r="H57" i="2"/>
  <c r="K45" i="2"/>
  <c r="K30" i="2"/>
  <c r="K23" i="2"/>
  <c r="K15" i="2"/>
  <c r="E59" i="2"/>
  <c r="E60" i="2"/>
  <c r="E54" i="2"/>
  <c r="E55" i="2"/>
  <c r="E56" i="2"/>
  <c r="E53" i="2"/>
  <c r="E48" i="2"/>
  <c r="E49" i="2"/>
  <c r="E50" i="2"/>
  <c r="E41" i="2"/>
  <c r="E42" i="2"/>
  <c r="E43" i="2"/>
  <c r="E44" i="2"/>
  <c r="E40" i="2"/>
  <c r="E32" i="2"/>
  <c r="E33" i="2"/>
  <c r="E34" i="2"/>
  <c r="E35" i="2"/>
  <c r="E36" i="2"/>
  <c r="E26" i="2"/>
  <c r="E27" i="2"/>
  <c r="E28" i="2"/>
  <c r="E29" i="2"/>
  <c r="E25" i="2"/>
  <c r="E18" i="2"/>
  <c r="E19" i="2"/>
  <c r="E20" i="2"/>
  <c r="E21" i="2"/>
  <c r="E22" i="2"/>
  <c r="E17" i="2"/>
  <c r="E14" i="2"/>
  <c r="D61" i="2"/>
  <c r="D57" i="2"/>
  <c r="D51" i="2"/>
  <c r="D45" i="2"/>
  <c r="D38" i="2"/>
  <c r="D30" i="2"/>
  <c r="D23" i="2"/>
  <c r="D15" i="2"/>
  <c r="H65" i="2" l="1"/>
  <c r="H67" i="2" s="1"/>
  <c r="K65" i="2"/>
  <c r="K67" i="2" s="1"/>
  <c r="E61" i="2"/>
  <c r="E15" i="2"/>
  <c r="D67" i="2"/>
  <c r="E57" i="2"/>
  <c r="E51" i="2"/>
  <c r="E45" i="2"/>
  <c r="E38" i="2"/>
  <c r="E30" i="2"/>
  <c r="E23" i="2"/>
  <c r="E65" i="2" l="1"/>
  <c r="E67" i="2" s="1"/>
</calcChain>
</file>

<file path=xl/sharedStrings.xml><?xml version="1.0" encoding="utf-8"?>
<sst xmlns="http://schemas.openxmlformats.org/spreadsheetml/2006/main" count="260" uniqueCount="172">
  <si>
    <t>CMS SELECTION SCORECARD</t>
  </si>
  <si>
    <t>iO</t>
  </si>
  <si>
    <t>HOW TO COMPLETE THIS SCORECARD:</t>
  </si>
  <si>
    <t xml:space="preserve">&gt; Only the grey fields are to be filled in
&gt; Choose max. 3 CMS platforms to score, fill in the names of the platforms(row 9)
&gt; Score each requirement on its capabilities (Columns D, G, J): 3 = Strong | 2 = Partial | 1 = Weak | 0 = N/A
&gt; Add comments / justifications if needed (Columns F, J, L)
</t>
  </si>
  <si>
    <t>Requirement Category</t>
  </si>
  <si>
    <t>Requirement specification</t>
  </si>
  <si>
    <t>Sanity</t>
  </si>
  <si>
    <t>Storyblok</t>
  </si>
  <si>
    <t>Optimizely SaaS CMS</t>
  </si>
  <si>
    <t>1. Architecture &amp; Core Fit</t>
  </si>
  <si>
    <t>Weight (1-5)</t>
  </si>
  <si>
    <t>Score (0-3)</t>
  </si>
  <si>
    <t>Weighted score</t>
  </si>
  <si>
    <t>Comments / justification</t>
  </si>
  <si>
    <t>Headless architecture</t>
  </si>
  <si>
    <t>API-first headless platform with strong developer flexibility.</t>
  </si>
  <si>
    <t>Headless-first architecture with mature visual editing layer.</t>
  </si>
  <si>
    <t>SaaS CMS is headless-first and API-driven.</t>
  </si>
  <si>
    <t>Multi-market localisation</t>
  </si>
  <si>
    <t>Flexible document or field localization supports many markets.</t>
  </si>
  <si>
    <t>Strong built-in multilingual and multi-market capabilities.</t>
  </si>
  <si>
    <t>Localization is supported across multilingual implementations.</t>
  </si>
  <si>
    <t>Market-specific content (show/hide page or component)</t>
  </si>
  <si>
    <t>Market visibility rules are achievable via schema and query logic.</t>
  </si>
  <si>
    <t>Content and component visibility can be managed by market and locale.</t>
  </si>
  <si>
    <t>Market targeting is possible, though often solution-dependent.</t>
  </si>
  <si>
    <t>EU data residency / GDPR compliance</t>
  </si>
  <si>
    <t>GDPR-oriented setup and EU-hosted content options are available.</t>
  </si>
  <si>
    <t>EU-based vendor positioning is a strength for GDPR-sensitive teams.</t>
  </si>
  <si>
    <t>Optimizely provides GDPR and EU data hosting options.</t>
  </si>
  <si>
    <t>TOTAL</t>
  </si>
  <si>
    <t>2. Editor Experience</t>
  </si>
  <si>
    <t>Visual editor / live preview</t>
  </si>
  <si>
    <t>Live preview is strong but usually requires front-end setup.</t>
  </si>
  <si>
    <t>Visual Editor is a standout capability for in-context editing.</t>
  </si>
  <si>
    <t>Visual Builder offers immediate in-context preview.</t>
  </si>
  <si>
    <t>Daily content editing independence (no dev needed)</t>
  </si>
  <si>
    <t>Editors can manage content daily, though model changes need developers.</t>
  </si>
  <si>
    <t>Editors can handle most routine updates without developer support.</t>
  </si>
  <si>
    <t>Marketers can manage content and layouts with low developer reliance.</t>
  </si>
  <si>
    <t>Intuitive UI / learning curve for non-developers</t>
  </si>
  <si>
    <t>Powerful UI, but less intuitive than marketer-first page builders.</t>
  </si>
  <si>
    <t>Very approachable UI for marketers and non-technical editors.</t>
  </si>
  <si>
    <t>Usable and powerful, though enterprise tooling can feel heavier.</t>
  </si>
  <si>
    <t>Preview across devices, languages &amp; timing</t>
  </si>
  <si>
    <t>Preview and release tooling exist, but setup is more technical.</t>
  </si>
  <si>
    <t>Preview across devices and scheduled content is well supported.</t>
  </si>
  <si>
    <t>Visual Builder supports immediate preview and guided editing.</t>
  </si>
  <si>
    <t>Drag-and-drop page building</t>
  </si>
  <si>
    <t>No true native drag-and-drop page builder by default.</t>
  </si>
  <si>
    <t>Drag-and-drop block composition is a major strength.</t>
  </si>
  <si>
    <t>Drag-and-drop page building is a core strength of Visual Builder.</t>
  </si>
  <si>
    <t>Content scheduling &amp; publishing control</t>
  </si>
  <si>
    <t>Content Releases and scheduling are available for controlled publishing.</t>
  </si>
  <si>
    <t>Scheduling is native, and Releases supports broader campaigns.</t>
  </si>
  <si>
    <t>Publishing controls and approvals are mature.</t>
  </si>
  <si>
    <t>3. Developer Dependency (Day-to-Day)</t>
  </si>
  <si>
    <t>Creating a new page template without dev</t>
  </si>
  <si>
    <t>New template structures usually need schema or front-end work.</t>
  </si>
  <si>
    <t>New pages are easy, but truly new template patterns still need setup.</t>
  </si>
  <si>
    <t>Blueprints help reuse layouts, but new building blocks still need developers.</t>
  </si>
  <si>
    <t>Adding a new market / locale without dev</t>
  </si>
  <si>
    <t>Locales can be added flexibly, but often with admin or developer input.</t>
  </si>
  <si>
    <t>Languages and localization are strong for editorial teams.</t>
  </si>
  <si>
    <t>Language handling is supported, though implementation may vary by setup.</t>
  </si>
  <si>
    <t>Adjusting SEO fields per page without dev</t>
  </si>
  <si>
    <t>SEO fields are easy to model and edit per page.</t>
  </si>
  <si>
    <t>SEO fields are easy to expose and manage per story.</t>
  </si>
  <si>
    <t>SEO fields can be edited per item without code.</t>
  </si>
  <si>
    <t>Managing workflows &amp; approvals without dev</t>
  </si>
  <si>
    <t>Approvals are possible, but governance is less turnkey than suite vendors.</t>
  </si>
  <si>
    <t>Workflows and roles are well supported natively.</t>
  </si>
  <si>
    <t>Approval sequences are a strong native governance feature.</t>
  </si>
  <si>
    <t>Small structural changes without agency support: ex. navigation menu &amp; footer navigation</t>
  </si>
  <si>
    <t>Navigation changes depend on how the content model was implemented.</t>
  </si>
  <si>
    <t>Menus and reusable content areas are usually editable without agencies.</t>
  </si>
  <si>
    <t>Editors can often manage menus and page composition directly.</t>
  </si>
  <si>
    <t>4. Backend Organisation at Scale</t>
  </si>
  <si>
    <t>Native taxonomy, naming &amp; tagging system for content</t>
  </si>
  <si>
    <t>Strong tagging, structure, and custom taxonomy design.</t>
  </si>
  <si>
    <t>Taxonomy, tags, folders, and structured content are mature.</t>
  </si>
  <si>
    <t>Organization is solid, but taxonomy depth is less differentiated here.</t>
  </si>
  <si>
    <t>Asset management (DAM quality)</t>
  </si>
  <si>
    <t>Media Library is solid, but DAM depth depends on plan and setup.</t>
  </si>
  <si>
    <t>Native DAM is strong, with shared assets and metadata support.</t>
  </si>
  <si>
    <t>Media handling is capable, though not a best-in-class DAM within the CMS. Optimizely does have a DAM, which can be offered within one licensed package.</t>
  </si>
  <si>
    <t>Content relationships &amp; cross-linking (internal link-tree)</t>
  </si>
  <si>
    <t>References and linked content are a core strength.</t>
  </si>
  <si>
    <t>Internal linking and nested block relationships are well supported.</t>
  </si>
  <si>
    <t>Relationships are supported, but less flexible than top structured-content tools.</t>
  </si>
  <si>
    <t>Schema / content model change management</t>
  </si>
  <si>
    <t>Schema-as-code gives robust and auditable model management.</t>
  </si>
  <si>
    <t>Component changes are structured, though developer-owned.</t>
  </si>
  <si>
    <t>Model and schema changes remain more admin or developer led.</t>
  </si>
  <si>
    <t>Content governance &amp; quality control</t>
  </si>
  <si>
    <t>Governance is strong, though often configured rather than out-of-box.</t>
  </si>
  <si>
    <t>Roles, workflows, and releases give strong governance controls.</t>
  </si>
  <si>
    <t>Strong enterprise governance, approvals, and access control.</t>
  </si>
  <si>
    <t>Modular / reusable content blocks</t>
  </si>
  <si>
    <t>Reusable blocks and structured modular content are a key capability.</t>
  </si>
  <si>
    <t>Reusable blocks and presets are central to the platform.</t>
  </si>
  <si>
    <t>Reusable blueprints and modular content support are strong.</t>
  </si>
  <si>
    <t>5. Integrations &amp; Ecosystem</t>
  </si>
  <si>
    <t>CRM integration (future requirement)</t>
  </si>
  <si>
    <t>Open APIs make CRM integrations very feasible.</t>
  </si>
  <si>
    <t>API ecosystem supports CRM integration well.</t>
  </si>
  <si>
    <t>Enterprise ecosystem makes CRM integration a natural fit.</t>
  </si>
  <si>
    <t>Translation workflow (import / export files)</t>
  </si>
  <si>
    <t>Translation workflows work well through plugins, APIs, and services.</t>
  </si>
  <si>
    <t>Translation workflow support is mature and partner-friendly.</t>
  </si>
  <si>
    <t>Translation workflows are possible, but not a standout native differentiator.</t>
  </si>
  <si>
    <t>Smart search integration (NLP/semantic, etc.)</t>
  </si>
  <si>
    <t>Composable architecture works well with modern search tools.</t>
  </si>
  <si>
    <t>Search integrations are feasible through APIs and ecosystem tools.</t>
  </si>
  <si>
    <t>Strong fit for integrated search experiences.</t>
  </si>
  <si>
    <t>DAM integration (external)</t>
  </si>
  <si>
    <t>External DAM integration is straightforward through APIs.</t>
  </si>
  <si>
    <t>External DAM is possible, though native DAM often covers the need.</t>
  </si>
  <si>
    <t>External DAM integration is possible, but usually solution-led.</t>
  </si>
  <si>
    <t>PIM integration</t>
  </si>
  <si>
    <t>PIM integration is feasible through its API-first approach.</t>
  </si>
  <si>
    <t>PIM integration is possible but not a signature native strength.</t>
  </si>
  <si>
    <t>PIM integration is a common enterprise pattern.</t>
  </si>
  <si>
    <t>6. Personalisation &amp; Segmentation</t>
  </si>
  <si>
    <t>Audience segmentation based on on-site behaviour</t>
  </si>
  <si>
    <t>Audience targeting is not a native strength of the core CMS.</t>
  </si>
  <si>
    <t>Behavioral targeting is limited in the core CMS.</t>
  </si>
  <si>
    <t>Personalization is stronger than pure CMS tools when paired with Optimizely stack.</t>
  </si>
  <si>
    <t>CRM-driven personalisation</t>
  </si>
  <si>
    <t>CRM-driven personalization usually requires external tooling.</t>
  </si>
  <si>
    <t>CRM-driven personalization generally needs external tools.</t>
  </si>
  <si>
    <t>CRM-driven personalization is feasible through broader platform capabilities.</t>
  </si>
  <si>
    <t>Location-based content</t>
  </si>
  <si>
    <t>Location-based delivery typically depends on front-end logic.</t>
  </si>
  <si>
    <t>Location-based content usually relies on front-end logic or integrations.</t>
  </si>
  <si>
    <t>Location-aware experiences are feasible through Optimizely tooling.</t>
  </si>
  <si>
    <t>A/B testing capability</t>
  </si>
  <si>
    <t>A/B testing generally relies on third-party tools.</t>
  </si>
  <si>
    <t>No strong native A/B testing capability in the core CMS.</t>
  </si>
  <si>
    <t>Experimentation is a major Optimizely strength.</t>
  </si>
  <si>
    <t>7. SEO &amp; Discoverability</t>
  </si>
  <si>
    <t>Technical SEO controls</t>
  </si>
  <si>
    <t>Developers can model core SEO controls cleanly.</t>
  </si>
  <si>
    <t>Good support for technical SEO implementation.</t>
  </si>
  <si>
    <t>Strong support for technical SEO controls.</t>
  </si>
  <si>
    <t>Schema markup support</t>
  </si>
  <si>
    <t>Schema markup is supported through front-end implementation.</t>
  </si>
  <si>
    <t>Schema markup can be handled cleanly in the front end.</t>
  </si>
  <si>
    <t>Schema markup can be supported through implementation patterns.</t>
  </si>
  <si>
    <t>URL structure control</t>
  </si>
  <si>
    <t>URL control is strong when implemented in the front end.</t>
  </si>
  <si>
    <t>Editors and developers have solid slug and URL control.</t>
  </si>
  <si>
    <t>URL control is good, though implementation specifics matter.</t>
  </si>
  <si>
    <t>Per-market SEO optimisation</t>
  </si>
  <si>
    <t>Localization model supports market-level SEO control well.</t>
  </si>
  <si>
    <t>Strong localization makes market-level SEO manageable.</t>
  </si>
  <si>
    <t>Multi-language capability supports per-market SEO needs.</t>
  </si>
  <si>
    <t>9. Practicalities</t>
  </si>
  <si>
    <t>Documentation &amp; training resources</t>
  </si>
  <si>
    <t>Very strong docs and active learning resources.</t>
  </si>
  <si>
    <t>Very good documentation and onboarding resources.</t>
  </si>
  <si>
    <t>Strong official documentation and enterprise enablement materials.</t>
  </si>
  <si>
    <t>Plugin / app ecosystem</t>
  </si>
  <si>
    <t>Good ecosystem, though less plug-and-play than app-market leaders.</t>
  </si>
  <si>
    <t>Strong marketplace and partner ecosystem.</t>
  </si>
  <si>
    <t>Broad ecosystem and suite-level extensibility.</t>
  </si>
  <si>
    <t>Score</t>
  </si>
  <si>
    <t>GRAND TOTAL SCORE</t>
  </si>
  <si>
    <t>Max total score</t>
  </si>
  <si>
    <t>%</t>
  </si>
  <si>
    <t>Agency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</si>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</sst>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0" fontId="17" fillId="33" borderId="0" xfId="0" applyFont="1" applyFill="1" applyAlignment="1">
      <alignment wrapText="1"/>
    </xf>
    <xf numFmtId="0" fontId="22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3" fillId="0" borderId="0" xfId="0" applyFont="1" applyAlignment="1">
      <alignment wrapText="1"/>
    </xf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wrapText="1"/>
    </xf>
    <xf numFmtId="0" fontId="25" fillId="0" borderId="0" xfId="0" applyFont="1" applyAlignment="1">
      <alignment wrapText="1"/>
    </xf>
    <xf numFmtId="0" fontId="6" fillId="33" borderId="0" xfId="0" applyFont="1" applyFill="1"/>
    <xf numFmtId="0" fontId="26" fillId="0" borderId="0" xfId="0" applyFont="1"/>
    <xf numFmtId="0" fontId="28" fillId="0" borderId="0" xfId="0" applyFont="1"/>
    <xf numFmtId="0" fontId="23" fillId="33" borderId="0" xfId="0" applyFont="1" applyFill="1" applyAlignment="1">
      <alignment wrapText="1"/>
    </xf>
    <xf numFmtId="0" fontId="23" fillId="33" borderId="0" xfId="0" applyFont="1" applyFill="1"/>
    <xf numFmtId="0" fontId="29" fillId="33" borderId="0" xfId="0" applyFont="1" applyFill="1" applyAlignment="1">
      <alignment wrapText="1"/>
    </xf>
    <xf numFmtId="0" fontId="0" fillId="0" borderId="0" xfId="0" applyAlignment="1">
      <alignment horizontal="left" wrapText="1"/>
    </xf>
    <xf numFmtId="0" fontId="20" fillId="35" borderId="0" xfId="0" applyFont="1" applyFill="1"/>
    <xf numFmtId="0" fontId="14" fillId="35" borderId="0" xfId="0" applyFont="1" applyFill="1" applyAlignment="1">
      <alignment wrapText="1"/>
    </xf>
    <xf numFmtId="0" fontId="14" fillId="35" borderId="0" xfId="0" applyFont="1" applyFill="1"/>
    <xf numFmtId="0" fontId="21" fillId="0" borderId="0" xfId="0" applyFont="1" applyAlignment="1">
      <alignment wrapText="1"/>
    </xf>
    <xf numFmtId="0" fontId="21" fillId="0" borderId="0" xfId="0" applyFont="1"/>
    <xf numFmtId="0" fontId="22" fillId="34" borderId="0" xfId="0" applyFont="1" applyFill="1" applyProtection="1">
      <protection locked="0"/>
    </xf>
    <xf numFmtId="0" fontId="27" fillId="33" borderId="0" xfId="0" applyFont="1" applyFill="1"/>
    <xf numFmtId="0" fontId="24" fillId="33" borderId="0" xfId="0" applyFont="1" applyFill="1"/>
    <xf numFmtId="0" fontId="27" fillId="0" borderId="0" xfId="0" applyFont="1"/>
    <xf numFmtId="0" fontId="26" fillId="33" borderId="0" xfId="0" applyFont="1" applyFill="1"/>
    <xf numFmtId="0" fontId="22" fillId="33" borderId="0" xfId="0" applyFont="1" applyFill="1"/>
    <xf numFmtId="0" fontId="28" fillId="33" borderId="0" xfId="0" applyFont="1" applyFill="1"/>
    <xf numFmtId="0" fontId="29" fillId="33" borderId="0" xfId="0" applyFont="1" applyFill="1"/>
    <xf numFmtId="9" fontId="23" fillId="33" borderId="0" xfId="42" applyFont="1" applyFill="1" applyBorder="1"/>
    <xf numFmtId="0" fontId="19" fillId="35" borderId="0" xfId="0" applyFont="1" applyFill="1" applyAlignment="1">
      <alignment horizontal="left" wrapText="1"/>
    </xf>
    <xf numFmtId="0" fontId="0" fillId="0" borderId="0" xfId="0" applyAlignment="1">
      <alignment horizontal="left" wrapText="1"/>
    </xf>
    <xf numFmtId="0" fontId="21" fillId="34" borderId="0" xfId="0" applyFont="1" applyFill="1" applyAlignment="1" applyProtection="1">
      <alignment horizontal="center"/>
      <protection locked="0"/>
    </xf>
    <xf numFmtId="0" fontId="1" fillId="34" borderId="0" xfId="0" applyFont="1" applyFill="1" applyAlignment="1" applyProtection="1">
      <alignment horizontal="left"/>
      <protection locked="0"/>
    </xf>
    <xf numFmtId="0" fontId="30" fillId="34" borderId="0" xfId="0" applyFont="1" applyFill="1" applyAlignment="1" applyProtection="1">
      <alignment horizontal="left"/>
      <protection locked="0"/>
    </xf>
    <xf numFmtId="14" fontId="30" fillId="34" borderId="0" xfId="0" applyNumberFormat="1" applyFont="1" applyFill="1" applyAlignment="1" applyProtection="1">
      <alignment horizontal="left"/>
      <protection locked="0"/>
    </xf>
    <xf numFmtId="0" fontId="0" fillId="33" borderId="0" xfId="0" applyFill="1" applyAlignment="1">
      <alignment horizontal="left" vertical="top" wrapText="1"/>
    </xf>
    <xf numFmtId="0" fontId="17" fillId="33" borderId="0" xfId="0" applyFont="1" applyFill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B831-903D-411E-B898-EB1503DA4B8B}">
  <dimension ref="A1:L67"/>
  <sheetViews>
    <sheetView tabSelected="1" topLeftCell="A19" workbookViewId="0">
      <selection activeCell="B32" sqref="B32:B36"/>
    </sheetView>
  </sheetViews>
  <sheetFormatPr baseColWidth="10" defaultColWidth="8.83203125" defaultRowHeight="15" x14ac:dyDescent="0.2"/>
  <cols>
    <col min="1" max="1" width="37.83203125" style="1" customWidth="1"/>
    <col min="2" max="2" width="51.5" bestFit="1" customWidth="1"/>
    <col min="3" max="3" width="12.83203125" style="12" customWidth="1"/>
    <col min="4" max="4" width="13.5" customWidth="1"/>
    <col min="5" max="5" width="16.83203125" customWidth="1"/>
    <col min="6" max="6" width="41.83203125" customWidth="1"/>
    <col min="7" max="7" width="13.5" customWidth="1"/>
    <col min="8" max="8" width="16.83203125" customWidth="1"/>
    <col min="9" max="9" width="41.83203125" customWidth="1"/>
    <col min="10" max="10" width="13.5" customWidth="1"/>
    <col min="11" max="11" width="16.83203125" customWidth="1"/>
    <col min="12" max="12" width="41.83203125" customWidth="1"/>
  </cols>
  <sheetData>
    <row r="1" spans="1:12" ht="19" x14ac:dyDescent="0.25">
      <c r="A1" s="32" t="s">
        <v>0</v>
      </c>
      <c r="B1" s="32"/>
      <c r="C1" s="32"/>
    </row>
    <row r="2" spans="1:12" x14ac:dyDescent="0.2">
      <c r="A2" s="33"/>
      <c r="B2" s="33"/>
      <c r="C2" s="33"/>
    </row>
    <row r="3" spans="1:12" ht="16" x14ac:dyDescent="0.2">
      <c r="A3" s="2" t="s">
        <v>170</v>
      </c>
      <c r="B3" s="35" t="s">
        <v>1</v>
      </c>
      <c r="C3" s="36"/>
    </row>
    <row r="4" spans="1:12" ht="16" x14ac:dyDescent="0.2">
      <c r="A4" s="2" t="s">
        <v>171</v>
      </c>
      <c r="B4" s="37">
        <f ca="1">NOW()</f>
        <v>46189.608193865737</v>
      </c>
      <c r="C4" s="36"/>
    </row>
    <row r="5" spans="1:12" x14ac:dyDescent="0.2">
      <c r="A5" s="33"/>
      <c r="B5" s="33"/>
      <c r="C5" s="33"/>
    </row>
    <row r="6" spans="1:12" x14ac:dyDescent="0.2">
      <c r="A6" s="39" t="s">
        <v>2</v>
      </c>
      <c r="B6" s="39"/>
      <c r="C6" s="39"/>
    </row>
    <row r="7" spans="1:12" ht="67.5" customHeight="1" x14ac:dyDescent="0.2">
      <c r="A7" s="38" t="s">
        <v>3</v>
      </c>
      <c r="B7" s="38"/>
      <c r="C7" s="38"/>
    </row>
    <row r="8" spans="1:12" x14ac:dyDescent="0.2">
      <c r="A8" s="17"/>
    </row>
    <row r="9" spans="1:12" s="22" customFormat="1" ht="17" x14ac:dyDescent="0.2">
      <c r="A9" s="21" t="s">
        <v>4</v>
      </c>
      <c r="B9" s="22" t="s">
        <v>5</v>
      </c>
      <c r="D9" s="34" t="s">
        <v>6</v>
      </c>
      <c r="E9" s="34"/>
      <c r="F9" s="34"/>
      <c r="G9" s="34" t="s">
        <v>7</v>
      </c>
      <c r="H9" s="34"/>
      <c r="I9" s="34"/>
      <c r="J9" s="34" t="s">
        <v>8</v>
      </c>
      <c r="K9" s="34"/>
      <c r="L9" s="34"/>
    </row>
    <row r="10" spans="1:12" s="18" customFormat="1" ht="16" x14ac:dyDescent="0.2">
      <c r="A10" s="19" t="s">
        <v>9</v>
      </c>
      <c r="C10" s="20" t="s">
        <v>10</v>
      </c>
      <c r="D10" s="18" t="s">
        <v>11</v>
      </c>
      <c r="E10" s="18" t="s">
        <v>12</v>
      </c>
      <c r="F10" s="18" t="s">
        <v>13</v>
      </c>
      <c r="G10" s="18" t="s">
        <v>11</v>
      </c>
      <c r="H10" s="18" t="s">
        <v>12</v>
      </c>
      <c r="I10" s="18" t="s">
        <v>13</v>
      </c>
      <c r="J10" s="18" t="s">
        <v>11</v>
      </c>
      <c r="K10" s="18" t="s">
        <v>12</v>
      </c>
      <c r="L10" s="18" t="s">
        <v>13</v>
      </c>
    </row>
    <row r="11" spans="1:12" s="4" customFormat="1" x14ac:dyDescent="0.2">
      <c r="B11" s="4" t="s">
        <v>14</v>
      </c>
      <c r="C11" s="12">
        <v>4</v>
      </c>
      <c r="D11" s="23">
        <v>3</v>
      </c>
      <c r="E11" s="4">
        <f>C11*D11</f>
        <v>12</v>
      </c>
      <c r="F11" s="23" t="s">
        <v>15</v>
      </c>
      <c r="G11" s="23">
        <v>3</v>
      </c>
      <c r="H11" s="4">
        <f>C11*G11</f>
        <v>12</v>
      </c>
      <c r="I11" s="23" t="s">
        <v>16</v>
      </c>
      <c r="J11" s="23">
        <v>3</v>
      </c>
      <c r="K11" s="4">
        <f>C11*J11</f>
        <v>12</v>
      </c>
      <c r="L11" s="23" t="s">
        <v>17</v>
      </c>
    </row>
    <row r="12" spans="1:12" s="4" customFormat="1" x14ac:dyDescent="0.2">
      <c r="A12" s="6"/>
      <c r="B12" s="4" t="s">
        <v>18</v>
      </c>
      <c r="C12" s="12">
        <v>5</v>
      </c>
      <c r="D12" s="23">
        <v>3</v>
      </c>
      <c r="E12" s="4">
        <f t="shared" ref="E12:E14" si="0">C12*D12</f>
        <v>15</v>
      </c>
      <c r="F12" s="23" t="s">
        <v>19</v>
      </c>
      <c r="G12" s="23">
        <v>3</v>
      </c>
      <c r="H12" s="4">
        <f>C12*G12</f>
        <v>15</v>
      </c>
      <c r="I12" s="23" t="s">
        <v>20</v>
      </c>
      <c r="J12" s="23">
        <v>3</v>
      </c>
      <c r="K12" s="4">
        <f>C12*J12</f>
        <v>15</v>
      </c>
      <c r="L12" s="23" t="s">
        <v>21</v>
      </c>
    </row>
    <row r="13" spans="1:12" s="4" customFormat="1" x14ac:dyDescent="0.2">
      <c r="A13" s="6"/>
      <c r="B13" s="4" t="s">
        <v>22</v>
      </c>
      <c r="C13" s="12">
        <v>5</v>
      </c>
      <c r="D13" s="23">
        <v>3</v>
      </c>
      <c r="E13" s="4">
        <f t="shared" si="0"/>
        <v>15</v>
      </c>
      <c r="F13" s="23" t="s">
        <v>23</v>
      </c>
      <c r="G13" s="23">
        <v>3</v>
      </c>
      <c r="H13" s="4">
        <f>C13*G13</f>
        <v>15</v>
      </c>
      <c r="I13" s="23" t="s">
        <v>24</v>
      </c>
      <c r="J13" s="23">
        <v>2</v>
      </c>
      <c r="K13" s="4">
        <f>C13*J13</f>
        <v>10</v>
      </c>
      <c r="L13" s="23" t="s">
        <v>25</v>
      </c>
    </row>
    <row r="14" spans="1:12" s="4" customFormat="1" x14ac:dyDescent="0.2">
      <c r="A14" s="6"/>
      <c r="B14" s="4" t="s">
        <v>26</v>
      </c>
      <c r="C14" s="12">
        <v>5</v>
      </c>
      <c r="D14" s="23">
        <v>3</v>
      </c>
      <c r="E14" s="4">
        <f t="shared" si="0"/>
        <v>15</v>
      </c>
      <c r="F14" s="23" t="s">
        <v>27</v>
      </c>
      <c r="G14" s="23">
        <v>3</v>
      </c>
      <c r="H14" s="4">
        <f>C14*G14</f>
        <v>15</v>
      </c>
      <c r="I14" s="23" t="s">
        <v>28</v>
      </c>
      <c r="J14" s="23">
        <v>3</v>
      </c>
      <c r="K14" s="4">
        <f>C14*J14</f>
        <v>15</v>
      </c>
      <c r="L14" s="23" t="s">
        <v>29</v>
      </c>
    </row>
    <row r="15" spans="1:12" s="7" customFormat="1" x14ac:dyDescent="0.2">
      <c r="A15" s="9"/>
      <c r="B15" s="11" t="s">
        <v>30</v>
      </c>
      <c r="C15" s="24"/>
      <c r="D15" s="11">
        <f>SUM(D11:D14)</f>
        <v>12</v>
      </c>
      <c r="E15" s="11">
        <f>SUM(E11:E14)</f>
        <v>57</v>
      </c>
      <c r="F15" s="25"/>
      <c r="G15" s="11">
        <f>SUM(G11:G14)</f>
        <v>12</v>
      </c>
      <c r="H15" s="11">
        <f>SUM(H11:H14)</f>
        <v>57</v>
      </c>
      <c r="I15" s="25"/>
      <c r="J15" s="11">
        <f>SUM(J11:J14)</f>
        <v>11</v>
      </c>
      <c r="K15" s="11">
        <f>SUM(K11:K14)</f>
        <v>52</v>
      </c>
      <c r="L15" s="25"/>
    </row>
    <row r="16" spans="1:12" s="20" customFormat="1" ht="16" x14ac:dyDescent="0.2">
      <c r="A16" s="19" t="s">
        <v>31</v>
      </c>
      <c r="B16" s="18"/>
      <c r="C16" s="20" t="s">
        <v>10</v>
      </c>
      <c r="D16" s="18" t="s">
        <v>11</v>
      </c>
      <c r="E16" s="18" t="s">
        <v>12</v>
      </c>
      <c r="F16" s="18" t="s">
        <v>13</v>
      </c>
      <c r="G16" s="18" t="s">
        <v>11</v>
      </c>
      <c r="H16" s="18" t="s">
        <v>12</v>
      </c>
      <c r="I16" s="18" t="s">
        <v>13</v>
      </c>
      <c r="J16" s="18" t="s">
        <v>11</v>
      </c>
      <c r="K16" s="18" t="s">
        <v>12</v>
      </c>
      <c r="L16" s="18" t="s">
        <v>13</v>
      </c>
    </row>
    <row r="17" spans="1:12" s="4" customFormat="1" x14ac:dyDescent="0.2">
      <c r="B17" s="4" t="s">
        <v>32</v>
      </c>
      <c r="C17" s="12">
        <v>3</v>
      </c>
      <c r="D17" s="23">
        <v>2</v>
      </c>
      <c r="E17" s="4">
        <f>C17*D17</f>
        <v>6</v>
      </c>
      <c r="F17" s="23" t="s">
        <v>33</v>
      </c>
      <c r="G17" s="23">
        <v>3</v>
      </c>
      <c r="H17" s="4">
        <f t="shared" ref="H17:H22" si="1">C17*G17</f>
        <v>9</v>
      </c>
      <c r="I17" s="23" t="s">
        <v>34</v>
      </c>
      <c r="J17" s="23">
        <v>3</v>
      </c>
      <c r="K17" s="4">
        <f t="shared" ref="K17:K22" si="2">C17*J17</f>
        <v>9</v>
      </c>
      <c r="L17" s="23" t="s">
        <v>35</v>
      </c>
    </row>
    <row r="18" spans="1:12" s="4" customFormat="1" x14ac:dyDescent="0.2">
      <c r="A18" s="6"/>
      <c r="B18" s="4" t="s">
        <v>36</v>
      </c>
      <c r="C18" s="12">
        <v>4</v>
      </c>
      <c r="D18" s="23">
        <v>2</v>
      </c>
      <c r="E18" s="4">
        <f t="shared" ref="E18:E22" si="3">C18*D18</f>
        <v>8</v>
      </c>
      <c r="F18" s="23" t="s">
        <v>37</v>
      </c>
      <c r="G18" s="23">
        <v>3</v>
      </c>
      <c r="H18" s="4">
        <f t="shared" si="1"/>
        <v>12</v>
      </c>
      <c r="I18" s="23" t="s">
        <v>38</v>
      </c>
      <c r="J18" s="23">
        <v>3</v>
      </c>
      <c r="K18" s="4">
        <f t="shared" si="2"/>
        <v>12</v>
      </c>
      <c r="L18" s="23" t="s">
        <v>39</v>
      </c>
    </row>
    <row r="19" spans="1:12" s="4" customFormat="1" x14ac:dyDescent="0.2">
      <c r="A19" s="6"/>
      <c r="B19" s="4" t="s">
        <v>40</v>
      </c>
      <c r="C19" s="12">
        <v>4</v>
      </c>
      <c r="D19" s="23">
        <v>2</v>
      </c>
      <c r="E19" s="4">
        <f t="shared" si="3"/>
        <v>8</v>
      </c>
      <c r="F19" s="23" t="s">
        <v>41</v>
      </c>
      <c r="G19" s="23">
        <v>3</v>
      </c>
      <c r="H19" s="4">
        <f t="shared" si="1"/>
        <v>12</v>
      </c>
      <c r="I19" s="23" t="s">
        <v>42</v>
      </c>
      <c r="J19" s="23">
        <v>2</v>
      </c>
      <c r="K19" s="4">
        <f t="shared" si="2"/>
        <v>8</v>
      </c>
      <c r="L19" s="23" t="s">
        <v>43</v>
      </c>
    </row>
    <row r="20" spans="1:12" s="4" customFormat="1" x14ac:dyDescent="0.2">
      <c r="A20" s="6"/>
      <c r="B20" s="4" t="s">
        <v>44</v>
      </c>
      <c r="C20" s="12">
        <v>4</v>
      </c>
      <c r="D20" s="23">
        <v>2</v>
      </c>
      <c r="E20" s="4">
        <f t="shared" si="3"/>
        <v>8</v>
      </c>
      <c r="F20" s="23" t="s">
        <v>45</v>
      </c>
      <c r="G20" s="23">
        <v>3</v>
      </c>
      <c r="H20" s="4">
        <f t="shared" si="1"/>
        <v>12</v>
      </c>
      <c r="I20" s="23" t="s">
        <v>46</v>
      </c>
      <c r="J20" s="23">
        <v>3</v>
      </c>
      <c r="K20" s="4">
        <f t="shared" si="2"/>
        <v>12</v>
      </c>
      <c r="L20" s="23" t="s">
        <v>47</v>
      </c>
    </row>
    <row r="21" spans="1:12" s="4" customFormat="1" x14ac:dyDescent="0.2">
      <c r="A21" s="6"/>
      <c r="B21" s="4" t="s">
        <v>48</v>
      </c>
      <c r="C21" s="12">
        <v>2</v>
      </c>
      <c r="D21" s="23">
        <v>1</v>
      </c>
      <c r="E21" s="4">
        <f t="shared" si="3"/>
        <v>2</v>
      </c>
      <c r="F21" s="23" t="s">
        <v>49</v>
      </c>
      <c r="G21" s="23">
        <v>3</v>
      </c>
      <c r="H21" s="4">
        <f t="shared" si="1"/>
        <v>6</v>
      </c>
      <c r="I21" s="23" t="s">
        <v>50</v>
      </c>
      <c r="J21" s="23">
        <v>3</v>
      </c>
      <c r="K21" s="4">
        <f t="shared" si="2"/>
        <v>6</v>
      </c>
      <c r="L21" s="23" t="s">
        <v>51</v>
      </c>
    </row>
    <row r="22" spans="1:12" s="4" customFormat="1" x14ac:dyDescent="0.2">
      <c r="A22" s="6"/>
      <c r="B22" s="4" t="s">
        <v>52</v>
      </c>
      <c r="C22" s="12">
        <v>5</v>
      </c>
      <c r="D22" s="23">
        <v>3</v>
      </c>
      <c r="E22" s="4">
        <f t="shared" si="3"/>
        <v>15</v>
      </c>
      <c r="F22" s="23" t="s">
        <v>53</v>
      </c>
      <c r="G22" s="23">
        <v>3</v>
      </c>
      <c r="H22" s="4">
        <f t="shared" si="1"/>
        <v>15</v>
      </c>
      <c r="I22" s="23" t="s">
        <v>54</v>
      </c>
      <c r="J22" s="23">
        <v>3</v>
      </c>
      <c r="K22" s="4">
        <f t="shared" si="2"/>
        <v>15</v>
      </c>
      <c r="L22" s="23" t="s">
        <v>55</v>
      </c>
    </row>
    <row r="23" spans="1:12" s="7" customFormat="1" x14ac:dyDescent="0.2">
      <c r="A23" s="9"/>
      <c r="B23" s="11" t="s">
        <v>30</v>
      </c>
      <c r="C23" s="24"/>
      <c r="D23" s="11">
        <f>SUM(D17:D22)</f>
        <v>12</v>
      </c>
      <c r="E23" s="11">
        <f>SUM(E17:E22)</f>
        <v>47</v>
      </c>
      <c r="F23" s="25"/>
      <c r="G23" s="11">
        <f>SUM(G17:G22)</f>
        <v>18</v>
      </c>
      <c r="H23" s="11">
        <f>SUM(H17:H22)</f>
        <v>66</v>
      </c>
      <c r="I23" s="25"/>
      <c r="J23" s="11">
        <f>SUM(J17:J22)</f>
        <v>17</v>
      </c>
      <c r="K23" s="11">
        <f>SUM(K17:K22)</f>
        <v>62</v>
      </c>
      <c r="L23" s="25"/>
    </row>
    <row r="24" spans="1:12" s="20" customFormat="1" ht="16" x14ac:dyDescent="0.2">
      <c r="A24" s="19" t="s">
        <v>56</v>
      </c>
      <c r="B24" s="18"/>
      <c r="C24" s="20" t="s">
        <v>10</v>
      </c>
      <c r="D24" s="18" t="s">
        <v>11</v>
      </c>
      <c r="E24" s="18" t="s">
        <v>12</v>
      </c>
      <c r="F24" s="18" t="s">
        <v>13</v>
      </c>
      <c r="G24" s="18" t="s">
        <v>11</v>
      </c>
      <c r="H24" s="18" t="s">
        <v>12</v>
      </c>
      <c r="I24" s="18" t="s">
        <v>13</v>
      </c>
      <c r="J24" s="18" t="s">
        <v>11</v>
      </c>
      <c r="K24" s="18" t="s">
        <v>12</v>
      </c>
      <c r="L24" s="18" t="s">
        <v>13</v>
      </c>
    </row>
    <row r="25" spans="1:12" s="4" customFormat="1" x14ac:dyDescent="0.2">
      <c r="A25" s="6"/>
      <c r="B25" s="4" t="s">
        <v>57</v>
      </c>
      <c r="C25" s="12">
        <v>3</v>
      </c>
      <c r="D25" s="23">
        <v>1</v>
      </c>
      <c r="E25" s="4">
        <f t="shared" ref="E25:E29" si="4">C25*D25</f>
        <v>3</v>
      </c>
      <c r="F25" s="23" t="s">
        <v>58</v>
      </c>
      <c r="G25" s="23">
        <v>2</v>
      </c>
      <c r="H25" s="4">
        <f>C25*G25</f>
        <v>6</v>
      </c>
      <c r="I25" s="23" t="s">
        <v>59</v>
      </c>
      <c r="J25" s="23">
        <v>2</v>
      </c>
      <c r="K25" s="4">
        <f>C25*J25</f>
        <v>6</v>
      </c>
      <c r="L25" s="23" t="s">
        <v>60</v>
      </c>
    </row>
    <row r="26" spans="1:12" s="4" customFormat="1" x14ac:dyDescent="0.2">
      <c r="A26" s="6"/>
      <c r="B26" s="4" t="s">
        <v>61</v>
      </c>
      <c r="C26" s="12">
        <v>2</v>
      </c>
      <c r="D26" s="23">
        <v>2</v>
      </c>
      <c r="E26" s="4">
        <f t="shared" si="4"/>
        <v>4</v>
      </c>
      <c r="F26" s="23" t="s">
        <v>62</v>
      </c>
      <c r="G26" s="23">
        <v>3</v>
      </c>
      <c r="H26" s="4">
        <f>C26*G26</f>
        <v>6</v>
      </c>
      <c r="I26" s="23" t="s">
        <v>63</v>
      </c>
      <c r="J26" s="23">
        <v>2</v>
      </c>
      <c r="K26" s="4">
        <f>C26*J26</f>
        <v>4</v>
      </c>
      <c r="L26" s="23" t="s">
        <v>64</v>
      </c>
    </row>
    <row r="27" spans="1:12" s="4" customFormat="1" x14ac:dyDescent="0.2">
      <c r="A27" s="6"/>
      <c r="B27" s="4" t="s">
        <v>65</v>
      </c>
      <c r="C27" s="12">
        <v>5</v>
      </c>
      <c r="D27" s="23">
        <v>3</v>
      </c>
      <c r="E27" s="4">
        <f t="shared" si="4"/>
        <v>15</v>
      </c>
      <c r="F27" s="23" t="s">
        <v>66</v>
      </c>
      <c r="G27" s="23">
        <v>3</v>
      </c>
      <c r="H27" s="4">
        <f>C27*G27</f>
        <v>15</v>
      </c>
      <c r="I27" s="23" t="s">
        <v>67</v>
      </c>
      <c r="J27" s="23">
        <v>3</v>
      </c>
      <c r="K27" s="4">
        <f>C27*J27</f>
        <v>15</v>
      </c>
      <c r="L27" s="23" t="s">
        <v>68</v>
      </c>
    </row>
    <row r="28" spans="1:12" s="4" customFormat="1" x14ac:dyDescent="0.2">
      <c r="A28" s="6"/>
      <c r="B28" s="4" t="s">
        <v>69</v>
      </c>
      <c r="C28" s="12">
        <v>4</v>
      </c>
      <c r="D28" s="23">
        <v>2</v>
      </c>
      <c r="E28" s="4">
        <f t="shared" si="4"/>
        <v>8</v>
      </c>
      <c r="F28" s="23" t="s">
        <v>70</v>
      </c>
      <c r="G28" s="23">
        <v>3</v>
      </c>
      <c r="H28" s="4">
        <f>C28*G28</f>
        <v>12</v>
      </c>
      <c r="I28" s="23" t="s">
        <v>71</v>
      </c>
      <c r="J28" s="23">
        <v>3</v>
      </c>
      <c r="K28" s="4">
        <f>C28*J28</f>
        <v>12</v>
      </c>
      <c r="L28" s="23" t="s">
        <v>72</v>
      </c>
    </row>
    <row r="29" spans="1:12" s="4" customFormat="1" ht="32" x14ac:dyDescent="0.2">
      <c r="A29" s="6"/>
      <c r="B29" s="3" t="s">
        <v>73</v>
      </c>
      <c r="C29" s="12">
        <v>4</v>
      </c>
      <c r="D29" s="23">
        <v>1</v>
      </c>
      <c r="E29" s="4">
        <f t="shared" si="4"/>
        <v>4</v>
      </c>
      <c r="F29" s="23" t="s">
        <v>74</v>
      </c>
      <c r="G29" s="23">
        <v>2</v>
      </c>
      <c r="H29" s="4">
        <f>C29*G29</f>
        <v>8</v>
      </c>
      <c r="I29" s="23" t="s">
        <v>75</v>
      </c>
      <c r="J29" s="23">
        <v>3</v>
      </c>
      <c r="K29" s="4">
        <f>C29*J29</f>
        <v>12</v>
      </c>
      <c r="L29" s="23" t="s">
        <v>76</v>
      </c>
    </row>
    <row r="30" spans="1:12" s="7" customFormat="1" x14ac:dyDescent="0.2">
      <c r="A30" s="9"/>
      <c r="B30" s="11" t="s">
        <v>30</v>
      </c>
      <c r="C30" s="24"/>
      <c r="D30" s="11">
        <f>SUM(D25:D29)</f>
        <v>9</v>
      </c>
      <c r="E30" s="11">
        <f>SUM(E25:E29)</f>
        <v>34</v>
      </c>
      <c r="F30" s="25"/>
      <c r="G30" s="11">
        <f>SUM(G25:G29)</f>
        <v>13</v>
      </c>
      <c r="H30" s="11">
        <f>SUM(H25:H29)</f>
        <v>47</v>
      </c>
      <c r="I30" s="25"/>
      <c r="J30" s="11">
        <f>SUM(J25:J29)</f>
        <v>13</v>
      </c>
      <c r="K30" s="11">
        <f>SUM(K25:K29)</f>
        <v>49</v>
      </c>
      <c r="L30" s="25"/>
    </row>
    <row r="31" spans="1:12" s="20" customFormat="1" ht="16" x14ac:dyDescent="0.2">
      <c r="A31" s="19" t="s">
        <v>77</v>
      </c>
      <c r="B31" s="18"/>
      <c r="C31" s="20" t="s">
        <v>10</v>
      </c>
      <c r="D31" s="18" t="s">
        <v>11</v>
      </c>
      <c r="E31" s="18" t="s">
        <v>12</v>
      </c>
      <c r="F31" s="18" t="s">
        <v>13</v>
      </c>
      <c r="G31" s="18" t="s">
        <v>11</v>
      </c>
      <c r="H31" s="18" t="s">
        <v>12</v>
      </c>
      <c r="I31" s="18" t="s">
        <v>13</v>
      </c>
      <c r="J31" s="18" t="s">
        <v>11</v>
      </c>
      <c r="K31" s="18" t="s">
        <v>12</v>
      </c>
      <c r="L31" s="18" t="s">
        <v>13</v>
      </c>
    </row>
    <row r="32" spans="1:12" s="4" customFormat="1" x14ac:dyDescent="0.2">
      <c r="A32" s="6"/>
      <c r="B32" s="4" t="s">
        <v>78</v>
      </c>
      <c r="C32" s="12">
        <v>4</v>
      </c>
      <c r="D32" s="23">
        <v>3</v>
      </c>
      <c r="E32" s="4">
        <f t="shared" ref="E32:E36" si="5">C32*D32</f>
        <v>12</v>
      </c>
      <c r="F32" s="23" t="s">
        <v>79</v>
      </c>
      <c r="G32" s="23">
        <v>3</v>
      </c>
      <c r="H32" s="4">
        <f t="shared" ref="H32:H37" si="6">C32*G32</f>
        <v>12</v>
      </c>
      <c r="I32" s="23" t="s">
        <v>80</v>
      </c>
      <c r="J32" s="23">
        <v>2</v>
      </c>
      <c r="K32" s="4">
        <f t="shared" ref="K32:K37" si="7">C32*J32</f>
        <v>8</v>
      </c>
      <c r="L32" s="23" t="s">
        <v>81</v>
      </c>
    </row>
    <row r="33" spans="1:12" s="4" customFormat="1" x14ac:dyDescent="0.2">
      <c r="A33" s="6"/>
      <c r="B33" s="4" t="s">
        <v>82</v>
      </c>
      <c r="C33" s="12">
        <v>5</v>
      </c>
      <c r="D33" s="23">
        <v>2</v>
      </c>
      <c r="E33" s="4">
        <f t="shared" si="5"/>
        <v>10</v>
      </c>
      <c r="F33" s="23" t="s">
        <v>83</v>
      </c>
      <c r="G33" s="23">
        <v>3</v>
      </c>
      <c r="H33" s="4">
        <f t="shared" si="6"/>
        <v>15</v>
      </c>
      <c r="I33" s="23" t="s">
        <v>84</v>
      </c>
      <c r="J33" s="23">
        <v>2</v>
      </c>
      <c r="K33" s="4">
        <f t="shared" si="7"/>
        <v>10</v>
      </c>
      <c r="L33" s="23" t="s">
        <v>85</v>
      </c>
    </row>
    <row r="34" spans="1:12" s="4" customFormat="1" x14ac:dyDescent="0.2">
      <c r="A34" s="6"/>
      <c r="B34" s="4" t="s">
        <v>86</v>
      </c>
      <c r="C34" s="12">
        <v>5</v>
      </c>
      <c r="D34" s="23">
        <v>3</v>
      </c>
      <c r="E34" s="4">
        <f t="shared" si="5"/>
        <v>15</v>
      </c>
      <c r="F34" s="23" t="s">
        <v>87</v>
      </c>
      <c r="G34" s="23">
        <v>3</v>
      </c>
      <c r="H34" s="4">
        <f t="shared" si="6"/>
        <v>15</v>
      </c>
      <c r="I34" s="23" t="s">
        <v>88</v>
      </c>
      <c r="J34" s="23">
        <v>2</v>
      </c>
      <c r="K34" s="4">
        <f t="shared" si="7"/>
        <v>10</v>
      </c>
      <c r="L34" s="23" t="s">
        <v>89</v>
      </c>
    </row>
    <row r="35" spans="1:12" s="4" customFormat="1" x14ac:dyDescent="0.2">
      <c r="A35" s="6"/>
      <c r="B35" s="4" t="s">
        <v>90</v>
      </c>
      <c r="C35" s="12">
        <v>5</v>
      </c>
      <c r="D35" s="23">
        <v>3</v>
      </c>
      <c r="E35" s="4">
        <f t="shared" si="5"/>
        <v>15</v>
      </c>
      <c r="F35" s="23" t="s">
        <v>91</v>
      </c>
      <c r="G35" s="23">
        <v>2</v>
      </c>
      <c r="H35" s="4">
        <f t="shared" si="6"/>
        <v>10</v>
      </c>
      <c r="I35" s="23" t="s">
        <v>92</v>
      </c>
      <c r="J35" s="23">
        <v>2</v>
      </c>
      <c r="K35" s="4">
        <f t="shared" si="7"/>
        <v>10</v>
      </c>
      <c r="L35" s="23" t="s">
        <v>93</v>
      </c>
    </row>
    <row r="36" spans="1:12" s="4" customFormat="1" x14ac:dyDescent="0.2">
      <c r="A36" s="6"/>
      <c r="B36" s="4" t="s">
        <v>94</v>
      </c>
      <c r="C36" s="12">
        <v>4</v>
      </c>
      <c r="D36" s="23">
        <v>2</v>
      </c>
      <c r="E36" s="4">
        <f t="shared" si="5"/>
        <v>8</v>
      </c>
      <c r="F36" s="23" t="s">
        <v>95</v>
      </c>
      <c r="G36" s="23">
        <v>3</v>
      </c>
      <c r="H36" s="4">
        <f t="shared" si="6"/>
        <v>12</v>
      </c>
      <c r="I36" s="23" t="s">
        <v>96</v>
      </c>
      <c r="J36" s="23">
        <v>3</v>
      </c>
      <c r="K36" s="4">
        <f t="shared" si="7"/>
        <v>12</v>
      </c>
      <c r="L36" s="23" t="s">
        <v>97</v>
      </c>
    </row>
    <row r="37" spans="1:12" s="4" customFormat="1" x14ac:dyDescent="0.2">
      <c r="A37" s="6"/>
      <c r="B37" s="4" t="s">
        <v>98</v>
      </c>
      <c r="C37" s="12">
        <v>4</v>
      </c>
      <c r="D37" s="23">
        <v>3</v>
      </c>
      <c r="E37" s="4">
        <f>C37*D37</f>
        <v>12</v>
      </c>
      <c r="F37" s="23" t="s">
        <v>99</v>
      </c>
      <c r="G37" s="23">
        <v>3</v>
      </c>
      <c r="H37" s="4">
        <f t="shared" si="6"/>
        <v>12</v>
      </c>
      <c r="I37" s="23" t="s">
        <v>100</v>
      </c>
      <c r="J37" s="23">
        <v>3</v>
      </c>
      <c r="K37" s="4">
        <f t="shared" si="7"/>
        <v>12</v>
      </c>
      <c r="L37" s="23" t="s">
        <v>101</v>
      </c>
    </row>
    <row r="38" spans="1:12" s="7" customFormat="1" x14ac:dyDescent="0.2">
      <c r="A38" s="9"/>
      <c r="B38" s="11" t="s">
        <v>30</v>
      </c>
      <c r="C38" s="24"/>
      <c r="D38" s="11">
        <f>SUM(D32:D36)</f>
        <v>13</v>
      </c>
      <c r="E38" s="11">
        <f>SUM(E32:E36)</f>
        <v>60</v>
      </c>
      <c r="F38" s="25"/>
      <c r="G38" s="11">
        <f>SUM(G32:G36)</f>
        <v>14</v>
      </c>
      <c r="H38" s="11">
        <f>SUM(H32:H36)</f>
        <v>64</v>
      </c>
      <c r="I38" s="25"/>
      <c r="J38" s="11">
        <f>SUM(J32:J36)</f>
        <v>11</v>
      </c>
      <c r="K38" s="11">
        <f>SUM(K32:K36)</f>
        <v>50</v>
      </c>
      <c r="L38" s="25"/>
    </row>
    <row r="39" spans="1:12" s="20" customFormat="1" ht="16" x14ac:dyDescent="0.2">
      <c r="A39" s="19" t="s">
        <v>102</v>
      </c>
      <c r="B39" s="18"/>
      <c r="C39" s="20" t="s">
        <v>10</v>
      </c>
      <c r="D39" s="18" t="s">
        <v>11</v>
      </c>
      <c r="E39" s="18" t="s">
        <v>12</v>
      </c>
      <c r="F39" s="18" t="s">
        <v>13</v>
      </c>
      <c r="G39" s="18" t="s">
        <v>11</v>
      </c>
      <c r="H39" s="18" t="s">
        <v>12</v>
      </c>
      <c r="I39" s="18" t="s">
        <v>13</v>
      </c>
      <c r="J39" s="18" t="s">
        <v>11</v>
      </c>
      <c r="K39" s="18" t="s">
        <v>12</v>
      </c>
      <c r="L39" s="18" t="s">
        <v>13</v>
      </c>
    </row>
    <row r="40" spans="1:12" s="4" customFormat="1" x14ac:dyDescent="0.2">
      <c r="B40" s="4" t="s">
        <v>103</v>
      </c>
      <c r="C40" s="12">
        <v>5</v>
      </c>
      <c r="D40" s="23">
        <v>3</v>
      </c>
      <c r="E40" s="4">
        <f t="shared" ref="E40:E44" si="8">C40*D40</f>
        <v>15</v>
      </c>
      <c r="F40" s="23" t="s">
        <v>104</v>
      </c>
      <c r="G40" s="23">
        <v>3</v>
      </c>
      <c r="H40" s="4">
        <f>C40*G40</f>
        <v>15</v>
      </c>
      <c r="I40" s="23" t="s">
        <v>105</v>
      </c>
      <c r="J40" s="23">
        <v>3</v>
      </c>
      <c r="K40" s="4">
        <f>C40*J40</f>
        <v>15</v>
      </c>
      <c r="L40" s="23" t="s">
        <v>106</v>
      </c>
    </row>
    <row r="41" spans="1:12" s="4" customFormat="1" x14ac:dyDescent="0.2">
      <c r="A41" s="6"/>
      <c r="B41" s="4" t="s">
        <v>107</v>
      </c>
      <c r="C41" s="12">
        <v>5</v>
      </c>
      <c r="D41" s="23">
        <v>2</v>
      </c>
      <c r="E41" s="4">
        <f t="shared" si="8"/>
        <v>10</v>
      </c>
      <c r="F41" s="23" t="s">
        <v>108</v>
      </c>
      <c r="G41" s="23">
        <v>3</v>
      </c>
      <c r="H41" s="4">
        <f>C41*G41</f>
        <v>15</v>
      </c>
      <c r="I41" s="23" t="s">
        <v>109</v>
      </c>
      <c r="J41" s="23">
        <v>2</v>
      </c>
      <c r="K41" s="4">
        <f>C41*J41</f>
        <v>10</v>
      </c>
      <c r="L41" s="23" t="s">
        <v>110</v>
      </c>
    </row>
    <row r="42" spans="1:12" s="4" customFormat="1" x14ac:dyDescent="0.2">
      <c r="A42" s="6"/>
      <c r="B42" s="4" t="s">
        <v>111</v>
      </c>
      <c r="C42" s="12">
        <v>3</v>
      </c>
      <c r="D42" s="23">
        <v>3</v>
      </c>
      <c r="E42" s="4">
        <f t="shared" si="8"/>
        <v>9</v>
      </c>
      <c r="F42" s="23" t="s">
        <v>112</v>
      </c>
      <c r="G42" s="23">
        <v>3</v>
      </c>
      <c r="H42" s="4">
        <f>C42*G42</f>
        <v>9</v>
      </c>
      <c r="I42" s="23" t="s">
        <v>113</v>
      </c>
      <c r="J42" s="23">
        <v>3</v>
      </c>
      <c r="K42" s="4">
        <f>C42*J42</f>
        <v>9</v>
      </c>
      <c r="L42" s="23" t="s">
        <v>114</v>
      </c>
    </row>
    <row r="43" spans="1:12" s="4" customFormat="1" x14ac:dyDescent="0.2">
      <c r="A43" s="6"/>
      <c r="B43" s="4" t="s">
        <v>115</v>
      </c>
      <c r="C43" s="12">
        <v>4</v>
      </c>
      <c r="D43" s="23">
        <v>3</v>
      </c>
      <c r="E43" s="4">
        <f t="shared" si="8"/>
        <v>12</v>
      </c>
      <c r="F43" s="23" t="s">
        <v>116</v>
      </c>
      <c r="G43" s="23">
        <v>2</v>
      </c>
      <c r="H43" s="4">
        <f>C43*G43</f>
        <v>8</v>
      </c>
      <c r="I43" s="23" t="s">
        <v>117</v>
      </c>
      <c r="J43" s="23">
        <v>2</v>
      </c>
      <c r="K43" s="4">
        <f>C43*J43</f>
        <v>8</v>
      </c>
      <c r="L43" s="23" t="s">
        <v>118</v>
      </c>
    </row>
    <row r="44" spans="1:12" s="4" customFormat="1" x14ac:dyDescent="0.2">
      <c r="A44" s="6"/>
      <c r="B44" s="4" t="s">
        <v>119</v>
      </c>
      <c r="C44" s="12">
        <v>4</v>
      </c>
      <c r="D44" s="23">
        <v>3</v>
      </c>
      <c r="E44" s="4">
        <f t="shared" si="8"/>
        <v>12</v>
      </c>
      <c r="F44" s="23" t="s">
        <v>120</v>
      </c>
      <c r="G44" s="23">
        <v>2</v>
      </c>
      <c r="H44" s="4">
        <f>C44*G44</f>
        <v>8</v>
      </c>
      <c r="I44" s="23" t="s">
        <v>121</v>
      </c>
      <c r="J44" s="23">
        <v>3</v>
      </c>
      <c r="K44" s="4">
        <f>C44*J44</f>
        <v>12</v>
      </c>
      <c r="L44" s="23" t="s">
        <v>122</v>
      </c>
    </row>
    <row r="45" spans="1:12" s="7" customFormat="1" x14ac:dyDescent="0.2">
      <c r="A45" s="9"/>
      <c r="B45" s="11" t="s">
        <v>30</v>
      </c>
      <c r="C45" s="24"/>
      <c r="D45" s="11">
        <f>SUM(D40:D44)</f>
        <v>14</v>
      </c>
      <c r="E45" s="11">
        <f>SUM(E40:E44)</f>
        <v>58</v>
      </c>
      <c r="F45" s="25"/>
      <c r="G45" s="11">
        <f>SUM(G40:G44)</f>
        <v>13</v>
      </c>
      <c r="H45" s="11">
        <f>SUM(H40:H44)</f>
        <v>55</v>
      </c>
      <c r="I45" s="25"/>
      <c r="J45" s="11">
        <f>SUM(J40:J44)</f>
        <v>13</v>
      </c>
      <c r="K45" s="11">
        <f>SUM(K40:K44)</f>
        <v>54</v>
      </c>
      <c r="L45" s="25"/>
    </row>
    <row r="46" spans="1:12" s="20" customFormat="1" ht="16" x14ac:dyDescent="0.2">
      <c r="A46" s="19" t="s">
        <v>123</v>
      </c>
      <c r="B46" s="18"/>
      <c r="C46" s="20" t="s">
        <v>10</v>
      </c>
      <c r="D46" s="18" t="s">
        <v>11</v>
      </c>
      <c r="E46" s="18" t="s">
        <v>12</v>
      </c>
      <c r="F46" s="18" t="s">
        <v>13</v>
      </c>
      <c r="G46" s="18" t="s">
        <v>11</v>
      </c>
      <c r="H46" s="18" t="s">
        <v>12</v>
      </c>
      <c r="I46" s="18" t="s">
        <v>13</v>
      </c>
      <c r="J46" s="18" t="s">
        <v>11</v>
      </c>
      <c r="K46" s="18" t="s">
        <v>12</v>
      </c>
      <c r="L46" s="18" t="s">
        <v>13</v>
      </c>
    </row>
    <row r="47" spans="1:12" s="4" customFormat="1" x14ac:dyDescent="0.2">
      <c r="B47" s="4" t="s">
        <v>124</v>
      </c>
      <c r="C47" s="12">
        <v>2</v>
      </c>
      <c r="D47" s="23">
        <v>1</v>
      </c>
      <c r="E47" s="4">
        <f t="shared" ref="E47:E50" si="9">C47*D47</f>
        <v>2</v>
      </c>
      <c r="F47" s="23" t="s">
        <v>125</v>
      </c>
      <c r="G47" s="23">
        <v>1</v>
      </c>
      <c r="H47" s="4">
        <f>C47*G47</f>
        <v>2</v>
      </c>
      <c r="I47" s="23" t="s">
        <v>126</v>
      </c>
      <c r="J47" s="23">
        <v>2</v>
      </c>
      <c r="K47" s="4">
        <f>C47*J47</f>
        <v>4</v>
      </c>
      <c r="L47" s="23" t="s">
        <v>127</v>
      </c>
    </row>
    <row r="48" spans="1:12" s="4" customFormat="1" x14ac:dyDescent="0.2">
      <c r="A48" s="6"/>
      <c r="B48" s="4" t="s">
        <v>128</v>
      </c>
      <c r="C48" s="12">
        <v>3</v>
      </c>
      <c r="D48" s="23">
        <v>1</v>
      </c>
      <c r="E48" s="4">
        <f t="shared" si="9"/>
        <v>3</v>
      </c>
      <c r="F48" s="23" t="s">
        <v>129</v>
      </c>
      <c r="G48" s="23">
        <v>1</v>
      </c>
      <c r="H48" s="4">
        <f>C48*G48</f>
        <v>3</v>
      </c>
      <c r="I48" s="23" t="s">
        <v>130</v>
      </c>
      <c r="J48" s="23">
        <v>2</v>
      </c>
      <c r="K48" s="4">
        <f>C48*J48</f>
        <v>6</v>
      </c>
      <c r="L48" s="23" t="s">
        <v>131</v>
      </c>
    </row>
    <row r="49" spans="1:12" s="4" customFormat="1" x14ac:dyDescent="0.2">
      <c r="A49" s="6"/>
      <c r="B49" s="4" t="s">
        <v>132</v>
      </c>
      <c r="C49" s="12">
        <v>2</v>
      </c>
      <c r="D49" s="23">
        <v>1</v>
      </c>
      <c r="E49" s="4">
        <f t="shared" si="9"/>
        <v>2</v>
      </c>
      <c r="F49" s="23" t="s">
        <v>133</v>
      </c>
      <c r="G49" s="23">
        <v>1</v>
      </c>
      <c r="H49" s="4">
        <f>C49*G49</f>
        <v>2</v>
      </c>
      <c r="I49" s="23" t="s">
        <v>134</v>
      </c>
      <c r="J49" s="23">
        <v>2</v>
      </c>
      <c r="K49" s="4">
        <f>C49*J49</f>
        <v>4</v>
      </c>
      <c r="L49" s="23" t="s">
        <v>135</v>
      </c>
    </row>
    <row r="50" spans="1:12" s="4" customFormat="1" x14ac:dyDescent="0.2">
      <c r="A50" s="6"/>
      <c r="B50" s="4" t="s">
        <v>136</v>
      </c>
      <c r="C50" s="12">
        <v>2</v>
      </c>
      <c r="D50" s="23">
        <v>1</v>
      </c>
      <c r="E50" s="4">
        <f t="shared" si="9"/>
        <v>2</v>
      </c>
      <c r="F50" s="23" t="s">
        <v>137</v>
      </c>
      <c r="G50" s="23">
        <v>0</v>
      </c>
      <c r="H50" s="4">
        <f>C50*G50</f>
        <v>0</v>
      </c>
      <c r="I50" s="23" t="s">
        <v>138</v>
      </c>
      <c r="J50" s="23">
        <v>3</v>
      </c>
      <c r="K50" s="4">
        <f>C50*J50</f>
        <v>6</v>
      </c>
      <c r="L50" s="23" t="s">
        <v>139</v>
      </c>
    </row>
    <row r="51" spans="1:12" s="7" customFormat="1" x14ac:dyDescent="0.2">
      <c r="A51" s="9"/>
      <c r="B51" s="11" t="s">
        <v>30</v>
      </c>
      <c r="C51" s="24"/>
      <c r="D51" s="11">
        <f>SUM(D47:D50)</f>
        <v>4</v>
      </c>
      <c r="E51" s="11">
        <f>SUM(E47:E50)</f>
        <v>9</v>
      </c>
      <c r="F51" s="25"/>
      <c r="G51" s="11">
        <f>SUM(G47:G50)</f>
        <v>3</v>
      </c>
      <c r="H51" s="11">
        <f>SUM(H47:H50)</f>
        <v>7</v>
      </c>
      <c r="I51" s="25"/>
      <c r="J51" s="11">
        <f>SUM(J47:J50)</f>
        <v>9</v>
      </c>
      <c r="K51" s="11">
        <f>SUM(K47:K50)</f>
        <v>20</v>
      </c>
      <c r="L51" s="25"/>
    </row>
    <row r="52" spans="1:12" s="20" customFormat="1" ht="16" x14ac:dyDescent="0.2">
      <c r="A52" s="19" t="s">
        <v>140</v>
      </c>
      <c r="B52" s="18"/>
      <c r="C52" s="20" t="s">
        <v>10</v>
      </c>
      <c r="D52" s="18" t="s">
        <v>11</v>
      </c>
      <c r="E52" s="18" t="s">
        <v>12</v>
      </c>
      <c r="F52" s="18" t="s">
        <v>13</v>
      </c>
      <c r="G52" s="18" t="s">
        <v>11</v>
      </c>
      <c r="H52" s="18" t="s">
        <v>12</v>
      </c>
      <c r="I52" s="18" t="s">
        <v>13</v>
      </c>
      <c r="J52" s="18" t="s">
        <v>11</v>
      </c>
      <c r="K52" s="18" t="s">
        <v>12</v>
      </c>
      <c r="L52" s="18" t="s">
        <v>13</v>
      </c>
    </row>
    <row r="53" spans="1:12" s="4" customFormat="1" x14ac:dyDescent="0.2">
      <c r="B53" s="4" t="s">
        <v>141</v>
      </c>
      <c r="C53" s="12">
        <v>5</v>
      </c>
      <c r="D53" s="23">
        <v>3</v>
      </c>
      <c r="E53" s="4">
        <f t="shared" ref="E53:E56" si="10">C53*D53</f>
        <v>15</v>
      </c>
      <c r="F53" s="23" t="s">
        <v>142</v>
      </c>
      <c r="G53" s="23">
        <v>3</v>
      </c>
      <c r="H53" s="4">
        <f>C53*G53</f>
        <v>15</v>
      </c>
      <c r="I53" s="23" t="s">
        <v>143</v>
      </c>
      <c r="J53" s="23">
        <v>3</v>
      </c>
      <c r="K53" s="4">
        <f>C53*J53</f>
        <v>15</v>
      </c>
      <c r="L53" s="23" t="s">
        <v>144</v>
      </c>
    </row>
    <row r="54" spans="1:12" s="4" customFormat="1" x14ac:dyDescent="0.2">
      <c r="A54" s="6"/>
      <c r="B54" s="4" t="s">
        <v>145</v>
      </c>
      <c r="C54" s="12">
        <v>5</v>
      </c>
      <c r="D54" s="23">
        <v>3</v>
      </c>
      <c r="E54" s="4">
        <f t="shared" si="10"/>
        <v>15</v>
      </c>
      <c r="F54" s="23" t="s">
        <v>146</v>
      </c>
      <c r="G54" s="23">
        <v>3</v>
      </c>
      <c r="H54" s="4">
        <f>C54*G54</f>
        <v>15</v>
      </c>
      <c r="I54" s="23" t="s">
        <v>147</v>
      </c>
      <c r="J54" s="23">
        <v>3</v>
      </c>
      <c r="K54" s="4">
        <f>C54*J54</f>
        <v>15</v>
      </c>
      <c r="L54" s="23" t="s">
        <v>148</v>
      </c>
    </row>
    <row r="55" spans="1:12" s="4" customFormat="1" x14ac:dyDescent="0.2">
      <c r="A55" s="6"/>
      <c r="B55" s="4" t="s">
        <v>149</v>
      </c>
      <c r="C55" s="12">
        <v>5</v>
      </c>
      <c r="D55" s="23">
        <v>3</v>
      </c>
      <c r="E55" s="4">
        <f t="shared" si="10"/>
        <v>15</v>
      </c>
      <c r="F55" s="23" t="s">
        <v>150</v>
      </c>
      <c r="G55" s="23">
        <v>3</v>
      </c>
      <c r="H55" s="4">
        <f>C55*G55</f>
        <v>15</v>
      </c>
      <c r="I55" s="23" t="s">
        <v>151</v>
      </c>
      <c r="J55" s="23">
        <v>2</v>
      </c>
      <c r="K55" s="4">
        <f>C55*J55</f>
        <v>10</v>
      </c>
      <c r="L55" s="23" t="s">
        <v>152</v>
      </c>
    </row>
    <row r="56" spans="1:12" s="4" customFormat="1" x14ac:dyDescent="0.2">
      <c r="A56" s="6"/>
      <c r="B56" s="4" t="s">
        <v>153</v>
      </c>
      <c r="C56" s="12">
        <v>5</v>
      </c>
      <c r="D56" s="23">
        <v>3</v>
      </c>
      <c r="E56" s="4">
        <f t="shared" si="10"/>
        <v>15</v>
      </c>
      <c r="F56" s="23" t="s">
        <v>154</v>
      </c>
      <c r="G56" s="23">
        <v>3</v>
      </c>
      <c r="H56" s="4">
        <f>C56*G56</f>
        <v>15</v>
      </c>
      <c r="I56" s="23" t="s">
        <v>155</v>
      </c>
      <c r="J56" s="23">
        <v>3</v>
      </c>
      <c r="K56" s="4">
        <f>C56*J56</f>
        <v>15</v>
      </c>
      <c r="L56" s="23" t="s">
        <v>156</v>
      </c>
    </row>
    <row r="57" spans="1:12" s="7" customFormat="1" x14ac:dyDescent="0.2">
      <c r="A57" s="9"/>
      <c r="B57" s="11" t="s">
        <v>30</v>
      </c>
      <c r="C57" s="24"/>
      <c r="D57" s="11">
        <f>SUM(D53:D56)</f>
        <v>12</v>
      </c>
      <c r="E57" s="11">
        <f>SUM(E53:E56)</f>
        <v>60</v>
      </c>
      <c r="F57" s="25"/>
      <c r="G57" s="11">
        <f>SUM(G53:G56)</f>
        <v>12</v>
      </c>
      <c r="H57" s="11">
        <f>SUM(H53:H56)</f>
        <v>60</v>
      </c>
      <c r="I57" s="25"/>
      <c r="J57" s="11">
        <f>SUM(J53:J56)</f>
        <v>11</v>
      </c>
      <c r="K57" s="11">
        <f>SUM(K53:K56)</f>
        <v>55</v>
      </c>
      <c r="L57" s="25"/>
    </row>
    <row r="58" spans="1:12" s="20" customFormat="1" ht="16" x14ac:dyDescent="0.2">
      <c r="A58" s="19" t="s">
        <v>157</v>
      </c>
      <c r="B58" s="18"/>
      <c r="C58" s="20" t="s">
        <v>10</v>
      </c>
      <c r="D58" s="18" t="s">
        <v>11</v>
      </c>
      <c r="E58" s="18" t="s">
        <v>12</v>
      </c>
      <c r="F58" s="18" t="s">
        <v>13</v>
      </c>
      <c r="G58" s="18" t="s">
        <v>11</v>
      </c>
      <c r="H58" s="18" t="s">
        <v>12</v>
      </c>
      <c r="I58" s="18" t="s">
        <v>13</v>
      </c>
      <c r="J58" s="18" t="s">
        <v>11</v>
      </c>
      <c r="K58" s="18" t="s">
        <v>12</v>
      </c>
      <c r="L58" s="18" t="s">
        <v>13</v>
      </c>
    </row>
    <row r="59" spans="1:12" s="4" customFormat="1" x14ac:dyDescent="0.2">
      <c r="A59" s="6"/>
      <c r="B59" s="4" t="s">
        <v>158</v>
      </c>
      <c r="C59" s="12">
        <v>5</v>
      </c>
      <c r="D59" s="23">
        <v>3</v>
      </c>
      <c r="E59" s="4">
        <f t="shared" ref="E59:E60" si="11">C59*D59</f>
        <v>15</v>
      </c>
      <c r="F59" s="23" t="s">
        <v>159</v>
      </c>
      <c r="G59" s="23">
        <v>3</v>
      </c>
      <c r="H59" s="4">
        <f>C59*G59</f>
        <v>15</v>
      </c>
      <c r="I59" s="23" t="s">
        <v>160</v>
      </c>
      <c r="J59" s="23">
        <v>3</v>
      </c>
      <c r="K59" s="4">
        <f>C59*J59</f>
        <v>15</v>
      </c>
      <c r="L59" s="23" t="s">
        <v>161</v>
      </c>
    </row>
    <row r="60" spans="1:12" s="4" customFormat="1" x14ac:dyDescent="0.2">
      <c r="A60" s="6"/>
      <c r="B60" s="4" t="s">
        <v>162</v>
      </c>
      <c r="C60" s="12">
        <v>4</v>
      </c>
      <c r="D60" s="23">
        <v>2</v>
      </c>
      <c r="E60" s="4">
        <f t="shared" si="11"/>
        <v>8</v>
      </c>
      <c r="F60" s="23" t="s">
        <v>163</v>
      </c>
      <c r="G60" s="23">
        <v>3</v>
      </c>
      <c r="H60" s="4">
        <f>C60*G60</f>
        <v>12</v>
      </c>
      <c r="I60" s="23" t="s">
        <v>164</v>
      </c>
      <c r="J60" s="23">
        <v>3</v>
      </c>
      <c r="K60" s="4">
        <f>C60*J60</f>
        <v>12</v>
      </c>
      <c r="L60" s="23" t="s">
        <v>165</v>
      </c>
    </row>
    <row r="61" spans="1:12" s="7" customFormat="1" x14ac:dyDescent="0.2">
      <c r="A61" s="9"/>
      <c r="B61" s="11" t="s">
        <v>30</v>
      </c>
      <c r="C61" s="24"/>
      <c r="D61" s="11">
        <f>SUM(D59:D60)</f>
        <v>5</v>
      </c>
      <c r="E61" s="11">
        <f>SUM(E59:E60)</f>
        <v>23</v>
      </c>
      <c r="F61" s="25"/>
      <c r="G61" s="11">
        <f>SUM(G59:G60)</f>
        <v>6</v>
      </c>
      <c r="H61" s="11">
        <f>SUM(H59:H60)</f>
        <v>27</v>
      </c>
      <c r="I61" s="25"/>
      <c r="J61" s="11">
        <f>SUM(J59:J60)</f>
        <v>6</v>
      </c>
      <c r="K61" s="11">
        <f>SUM(K59:K60)</f>
        <v>27</v>
      </c>
      <c r="L61" s="25"/>
    </row>
    <row r="62" spans="1:12" s="8" customFormat="1" x14ac:dyDescent="0.2">
      <c r="A62" s="10"/>
      <c r="C62" s="26"/>
    </row>
    <row r="63" spans="1:12" s="4" customFormat="1" x14ac:dyDescent="0.2">
      <c r="A63" s="3"/>
      <c r="B63" s="5"/>
      <c r="C63" s="12"/>
    </row>
    <row r="64" spans="1:12" s="4" customFormat="1" x14ac:dyDescent="0.2">
      <c r="A64" s="3"/>
      <c r="C64" s="12"/>
      <c r="D64" s="5" t="s">
        <v>166</v>
      </c>
      <c r="E64" s="5" t="s">
        <v>12</v>
      </c>
      <c r="G64" s="5" t="s">
        <v>166</v>
      </c>
      <c r="H64" s="5" t="s">
        <v>12</v>
      </c>
      <c r="J64" s="5" t="s">
        <v>166</v>
      </c>
      <c r="K64" s="5" t="s">
        <v>12</v>
      </c>
    </row>
    <row r="65" spans="1:12" s="4" customFormat="1" ht="16" x14ac:dyDescent="0.2">
      <c r="B65" s="14" t="s">
        <v>167</v>
      </c>
      <c r="C65" s="27"/>
      <c r="D65" s="15">
        <f>D15+D23+D30+D38+D45+D51+D57++D61</f>
        <v>81</v>
      </c>
      <c r="E65" s="15">
        <f>E15+E23+E30+E38+E45+E51+E57+E61</f>
        <v>348</v>
      </c>
      <c r="F65" s="28"/>
      <c r="G65" s="15">
        <f>G15+G23+G30+G38+G45+G51+G57++G61</f>
        <v>91</v>
      </c>
      <c r="H65" s="15">
        <f>H15+H23+H30+H38+H45+H51+H57+H61</f>
        <v>383</v>
      </c>
      <c r="I65" s="28"/>
      <c r="J65" s="15">
        <f>J15+J23+J30+J38+J45+J51+J57++J61</f>
        <v>91</v>
      </c>
      <c r="K65" s="15">
        <f>K15+K23+K30+K38+K45+K51+K57+K61</f>
        <v>369</v>
      </c>
      <c r="L65" s="28"/>
    </row>
    <row r="66" spans="1:12" s="13" customFormat="1" ht="16" x14ac:dyDescent="0.2">
      <c r="B66" s="16" t="s">
        <v>168</v>
      </c>
      <c r="C66" s="29"/>
      <c r="D66" s="30">
        <f>36*3</f>
        <v>108</v>
      </c>
      <c r="E66" s="30">
        <f>5*D66</f>
        <v>540</v>
      </c>
      <c r="F66" s="29"/>
      <c r="G66" s="30">
        <f>37*3</f>
        <v>111</v>
      </c>
      <c r="H66" s="30">
        <f>5*G66</f>
        <v>555</v>
      </c>
      <c r="I66" s="29"/>
      <c r="J66" s="30">
        <f>37*3</f>
        <v>111</v>
      </c>
      <c r="K66" s="30">
        <f>5*J66</f>
        <v>555</v>
      </c>
      <c r="L66" s="29"/>
    </row>
    <row r="67" spans="1:12" s="4" customFormat="1" x14ac:dyDescent="0.2">
      <c r="A67" s="3"/>
      <c r="B67" s="15" t="s">
        <v>169</v>
      </c>
      <c r="C67" s="24"/>
      <c r="D67" s="31">
        <f>D65/D66</f>
        <v>0.75</v>
      </c>
      <c r="E67" s="31">
        <f>E65/E66</f>
        <v>0.64444444444444449</v>
      </c>
      <c r="F67" s="28"/>
      <c r="G67" s="31">
        <f>G65/G66</f>
        <v>0.81981981981981977</v>
      </c>
      <c r="H67" s="31">
        <f>H65/H66</f>
        <v>0.69009009009009004</v>
      </c>
      <c r="I67" s="28"/>
      <c r="J67" s="31">
        <f>J65/J66</f>
        <v>0.81981981981981977</v>
      </c>
      <c r="K67" s="31">
        <f>K65/K66</f>
        <v>0.66486486486486485</v>
      </c>
      <c r="L67" s="28"/>
    </row>
  </sheetData>
  <sheetProtection selectLockedCells="1"/>
  <mergeCells count="10">
    <mergeCell ref="A1:C1"/>
    <mergeCell ref="A5:C5"/>
    <mergeCell ref="A2:C2"/>
    <mergeCell ref="J9:L9"/>
    <mergeCell ref="B3:C3"/>
    <mergeCell ref="B4:C4"/>
    <mergeCell ref="A7:C7"/>
    <mergeCell ref="A6:C6"/>
    <mergeCell ref="D9:F9"/>
    <mergeCell ref="G9:I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e9b3ee-1f42-4bb2-8a7b-92394e5192a2">
      <Terms xmlns="http://schemas.microsoft.com/office/infopath/2007/PartnerControls"/>
    </lcf76f155ced4ddcb4097134ff3c332f>
    <TaxCatchAll xmlns="189dae74-a655-4c5a-818a-30915aeaf851" xsi:nil="true"/>
    <UniqueSourceRef xmlns="77e9b3ee-1f42-4bb2-8a7b-92394e5192a2" xsi:nil="true"/>
    <FileHash xmlns="77e9b3ee-1f42-4bb2-8a7b-92394e5192a2" xsi:nil="true"/>
    <CloudMigratorVersion xmlns="77e9b3ee-1f42-4bb2-8a7b-92394e5192a2" xsi:nil="true"/>
    <CloudMigratorOriginId xmlns="77e9b3ee-1f42-4bb2-8a7b-92394e5192a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B15BAE8EF2BA4B926BC45E3803D75C" ma:contentTypeVersion="20" ma:contentTypeDescription="Create a new document." ma:contentTypeScope="" ma:versionID="a1f2ae898f009e872d5cf836848f366b">
  <xsd:schema xmlns:xsd="http://www.w3.org/2001/XMLSchema" xmlns:xs="http://www.w3.org/2001/XMLSchema" xmlns:p="http://schemas.microsoft.com/office/2006/metadata/properties" xmlns:ns2="189dae74-a655-4c5a-818a-30915aeaf851" xmlns:ns3="77e9b3ee-1f42-4bb2-8a7b-92394e5192a2" targetNamespace="http://schemas.microsoft.com/office/2006/metadata/properties" ma:root="true" ma:fieldsID="e5cbb9c7840b70ab5d8c5945360c4e2e" ns2:_="" ns3:_="">
    <xsd:import namespace="189dae74-a655-4c5a-818a-30915aeaf851"/>
    <xsd:import namespace="77e9b3ee-1f42-4bb2-8a7b-92394e5192a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CloudMigratorOriginId" minOccurs="0"/>
                <xsd:element ref="ns3:FileHash" minOccurs="0"/>
                <xsd:element ref="ns3:CloudMigratorVersion" minOccurs="0"/>
                <xsd:element ref="ns3:UniqueSourceRef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dae74-a655-4c5a-818a-30915aeaf85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baf0667-0882-4d65-ad12-a958b76e34ea}" ma:internalName="TaxCatchAll" ma:showField="CatchAllData" ma:web="189dae74-a655-4c5a-818a-30915aeaf8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e9b3ee-1f42-4bb2-8a7b-92394e5192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loudMigratorOriginId" ma:index="13" nillable="true" ma:displayName="CloudMigratorOriginId" ma:description="" ma:internalName="CloudMigratorOriginId">
      <xsd:simpleType>
        <xsd:restriction base="dms:Note">
          <xsd:maxLength value="255"/>
        </xsd:restriction>
      </xsd:simpleType>
    </xsd:element>
    <xsd:element name="FileHash" ma:index="14" nillable="true" ma:displayName="FileHash" ma:description="" ma:internalName="FileHash">
      <xsd:simpleType>
        <xsd:restriction base="dms:Note">
          <xsd:maxLength value="255"/>
        </xsd:restriction>
      </xsd:simpleType>
    </xsd:element>
    <xsd:element name="CloudMigratorVersion" ma:index="15" nillable="true" ma:displayName="CloudMigratorVersion" ma:description="" ma:internalName="CloudMigratorVersion">
      <xsd:simpleType>
        <xsd:restriction base="dms:Note">
          <xsd:maxLength value="255"/>
        </xsd:restriction>
      </xsd:simpleType>
    </xsd:element>
    <xsd:element name="UniqueSourceRef" ma:index="16" nillable="true" ma:displayName="UniqueSourceRef" ma:description="" ma:internalName="UniqueSourceRef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ced8bdf-74b4-4497-a9f3-2b6de1ad22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66F38A-97B3-4160-8FBB-F9CB0C97C7B4}">
  <ds:schemaRefs>
    <ds:schemaRef ds:uri="http://schemas.microsoft.com/office/2006/metadata/properties"/>
    <ds:schemaRef ds:uri="http://schemas.microsoft.com/office/infopath/2007/PartnerControls"/>
    <ds:schemaRef ds:uri="77e9b3ee-1f42-4bb2-8a7b-92394e5192a2"/>
    <ds:schemaRef ds:uri="189dae74-a655-4c5a-818a-30915aeaf851"/>
  </ds:schemaRefs>
</ds:datastoreItem>
</file>

<file path=customXml/itemProps2.xml><?xml version="1.0" encoding="utf-8"?>
<ds:datastoreItem xmlns:ds="http://schemas.openxmlformats.org/officeDocument/2006/customXml" ds:itemID="{D7BC0610-04F5-486B-9ACF-CA0C66FEAF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9dae74-a655-4c5a-818a-30915aeaf851"/>
    <ds:schemaRef ds:uri="77e9b3ee-1f42-4bb2-8a7b-92394e519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65E099B-0459-46FE-B044-1F2A39F1F6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CMS Scorecard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Dieter Provoost</cp:lastModifiedBy>
  <cp:revision/>
  <dcterms:created xsi:type="dcterms:W3CDTF">2026-04-22T13:26:14Z</dcterms:created>
  <dcterms:modified xsi:type="dcterms:W3CDTF">2026-06-16T18:01:34Z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0x010100FEB15BAE8EF2BA4B926BC45E3803D75C</vt:lpwstr>
  </property>
  <property fmtid="{D5CDD505-2E9C-101B-9397-08002B2CF9AE}" pid="3" name="MediaServiceImageTags">
    <vt:lpwstr/>
  </property>
</Properties>
</file>